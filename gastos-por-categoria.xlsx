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<sst xmlns="http://schemas.openxmlformats.org/spreadsheetml/2006/main" count="29" uniqueCount="21">
  <si>
    <t xml:space="preserve">Gastos por categoría</t>
  </si>
  <si>
    <t xml:space="preserve">Celdas amarillas: las llenas tú. Elige la categoría de la lista. Las filas de ejemplo se pueden borrar.</t>
  </si>
  <si>
    <t xml:space="preserve">Fecha</t>
  </si>
  <si>
    <t xml:space="preserve">Categoría</t>
  </si>
  <si>
    <t xml:space="preserve">Descripción</t>
  </si>
  <si>
    <t xml:space="preserve">Monto</t>
  </si>
  <si>
    <t xml:space="preserve">Comida</t>
  </si>
  <si>
    <t xml:space="preserve">Supermercado</t>
  </si>
  <si>
    <t xml:space="preserve">Transporte</t>
  </si>
  <si>
    <t xml:space="preserve">Bus del mes</t>
  </si>
  <si>
    <t xml:space="preserve">Servicios</t>
  </si>
  <si>
    <t xml:space="preserve">Luz</t>
  </si>
  <si>
    <t xml:space="preserve">Ocio</t>
  </si>
  <si>
    <t xml:space="preserve">Cine</t>
  </si>
  <si>
    <t xml:space="preserve">Almuerzo</t>
  </si>
  <si>
    <t xml:space="preserve">Internet</t>
  </si>
  <si>
    <t xml:space="preserve">Otros</t>
  </si>
  <si>
    <t xml:space="preserve">Farmacia</t>
  </si>
  <si>
    <t xml:space="preserve">Total</t>
  </si>
  <si>
    <t xml:space="preserve">% del total</t>
  </si>
  <si>
    <t xml:space="preserve">Total gastos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</si>
</sst>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$#,##0.0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6F42"/>
        <bgColor rgb="FF008080"/>
      </patternFill>
    </fill>
    <fill>
      <patternFill patternType="solid">
        <fgColor rgb="FFFFF3B8"/>
        <bgColor rgb="FFFFFF99"/>
      </patternFill>
    </fill>
    <fill>
      <patternFill patternType="solid">
        <fgColor rgb="FFE3F1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FC4"/>
      </left>
      <right style="thin">
        <color rgb="FFBFCFC4"/>
      </right>
      <top style="thin">
        <color rgb="FFBFCFC4"/>
      </top>
      <bottom style="thin">
        <color rgb="FFBFCF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BFCFC4"/>
      <rgbColor rgb="FF808080"/>
      <rgbColor rgb="FF9999FF"/>
      <rgbColor rgb="FF993366"/>
      <rgbColor rgb="FFFFF3B8"/>
      <rgbColor rgb="FFE3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46296</v>
      </c>
      <c r="B5" s="5" t="s">
        <v>6</v>
      </c>
      <c r="C5" s="5" t="s">
        <v>7</v>
      </c>
      <c r="D5" s="6" t="n">
        <v>45.5</v>
      </c>
    </row>
    <row r="6" customFormat="false" ht="15" hidden="false" customHeight="false" outlineLevel="0" collapsed="false">
      <c r="A6" s="4" t="n">
        <v>46299</v>
      </c>
      <c r="B6" s="5" t="s">
        <v>8</v>
      </c>
      <c r="C6" s="5" t="s">
        <v>9</v>
      </c>
      <c r="D6" s="6" t="n">
        <v>20</v>
      </c>
    </row>
    <row r="7" customFormat="false" ht="15" hidden="false" customHeight="false" outlineLevel="0" collapsed="false">
      <c r="A7" s="4" t="n">
        <v>46302</v>
      </c>
      <c r="B7" s="5" t="s">
        <v>10</v>
      </c>
      <c r="C7" s="5" t="s">
        <v>11</v>
      </c>
      <c r="D7" s="6" t="n">
        <v>28</v>
      </c>
    </row>
    <row r="8" customFormat="false" ht="15" hidden="false" customHeight="false" outlineLevel="0" collapsed="false">
      <c r="A8" s="4" t="n">
        <v>46305</v>
      </c>
      <c r="B8" s="5" t="s">
        <v>12</v>
      </c>
      <c r="C8" s="5" t="s">
        <v>13</v>
      </c>
      <c r="D8" s="6" t="n">
        <v>8</v>
      </c>
    </row>
    <row r="9" customFormat="false" ht="15" hidden="false" customHeight="false" outlineLevel="0" collapsed="false">
      <c r="A9" s="4" t="n">
        <v>46308</v>
      </c>
      <c r="B9" s="5" t="s">
        <v>6</v>
      </c>
      <c r="C9" s="5" t="s">
        <v>14</v>
      </c>
      <c r="D9" s="6" t="n">
        <v>6.5</v>
      </c>
    </row>
    <row r="10" customFormat="false" ht="15" hidden="false" customHeight="false" outlineLevel="0" collapsed="false">
      <c r="A10" s="4" t="n">
        <v>46311</v>
      </c>
      <c r="B10" s="5" t="s">
        <v>10</v>
      </c>
      <c r="C10" s="5" t="s">
        <v>15</v>
      </c>
      <c r="D10" s="6" t="n">
        <v>25</v>
      </c>
    </row>
    <row r="11" customFormat="false" ht="15" hidden="false" customHeight="false" outlineLevel="0" collapsed="false">
      <c r="A11" s="4" t="n">
        <v>46314</v>
      </c>
      <c r="B11" s="5" t="s">
        <v>16</v>
      </c>
      <c r="C11" s="5" t="s">
        <v>17</v>
      </c>
      <c r="D11" s="6" t="n">
        <v>12</v>
      </c>
    </row>
    <row r="12" customFormat="false" ht="15" hidden="false" customHeight="false" outlineLevel="0" collapsed="false">
      <c r="A12" s="4"/>
      <c r="B12" s="5"/>
      <c r="C12" s="5"/>
      <c r="D12" s="6"/>
    </row>
    <row r="13" customFormat="false" ht="15" hidden="false" customHeight="false" outlineLevel="0" collapsed="false">
      <c r="A13" s="4"/>
      <c r="B13" s="5"/>
      <c r="C13" s="5"/>
      <c r="D13" s="6"/>
    </row>
    <row r="14" customFormat="false" ht="15" hidden="false" customHeight="false" outlineLevel="0" collapsed="false">
      <c r="A14" s="4"/>
      <c r="B14" s="5"/>
      <c r="C14" s="5"/>
      <c r="D14" s="6"/>
    </row>
    <row r="15" customFormat="false" ht="15" hidden="false" customHeight="false" outlineLevel="0" collapsed="false">
      <c r="A15" s="4"/>
      <c r="B15" s="5"/>
      <c r="C15" s="5"/>
      <c r="D15" s="6"/>
    </row>
    <row r="16" customFormat="false" ht="15" hidden="false" customHeight="false" outlineLevel="0" collapsed="false">
      <c r="A16" s="4"/>
      <c r="B16" s="5"/>
      <c r="C16" s="5"/>
      <c r="D16" s="6"/>
    </row>
    <row r="19" customFormat="false" ht="15" hidden="false" customHeight="false" outlineLevel="0" collapsed="false">
      <c r="A19" s="7" t="s">
        <v>3</v>
      </c>
      <c r="B19" s="7" t="s">
        <v>18</v>
      </c>
      <c r="C19" s="7" t="s">
        <v>19</v>
      </c>
    </row>
    <row r="20" customFormat="false" ht="15" hidden="false" customHeight="false" outlineLevel="0" collapsed="false">
      <c r="A20" s="8" t="s">
        <v>6</v>
      </c>
      <c r="B20" s="9" t="n">
        <f aca="false">SUMIF($B$5:$B$16,A20,$D$5:$D$16)</f>
        <v>52</v>
      </c>
      <c r="C20" s="10" t="n">
        <f aca="false">IF($B$25=0,0,B20/$B$25)</f>
        <v>0.358620689655172</v>
      </c>
    </row>
    <row r="21" customFormat="false" ht="15" hidden="false" customHeight="false" outlineLevel="0" collapsed="false">
      <c r="A21" s="8" t="s">
        <v>8</v>
      </c>
      <c r="B21" s="9" t="n">
        <f aca="false">SUMIF($B$5:$B$16,A21,$D$5:$D$16)</f>
        <v>20</v>
      </c>
      <c r="C21" s="10" t="n">
        <f aca="false">IF($B$25=0,0,B21/$B$25)</f>
        <v>0.137931034482759</v>
      </c>
    </row>
    <row r="22" customFormat="false" ht="15" hidden="false" customHeight="false" outlineLevel="0" collapsed="false">
      <c r="A22" s="8" t="s">
        <v>10</v>
      </c>
      <c r="B22" s="9" t="n">
        <f aca="false">SUMIF($B$5:$B$16,A22,$D$5:$D$16)</f>
        <v>53</v>
      </c>
      <c r="C22" s="10" t="n">
        <f aca="false">IF($B$25=0,0,B22/$B$25)</f>
        <v>0.36551724137931</v>
      </c>
    </row>
    <row r="23" customFormat="false" ht="15" hidden="false" customHeight="false" outlineLevel="0" collapsed="false">
      <c r="A23" s="8" t="s">
        <v>12</v>
      </c>
      <c r="B23" s="9" t="n">
        <f aca="false">SUMIF($B$5:$B$16,A23,$D$5:$D$16)</f>
        <v>8</v>
      </c>
      <c r="C23" s="10" t="n">
        <f aca="false">IF($B$25=0,0,B23/$B$25)</f>
        <v>0.0551724137931035</v>
      </c>
    </row>
    <row r="24" customFormat="false" ht="15" hidden="false" customHeight="false" outlineLevel="0" collapsed="false">
      <c r="A24" s="8" t="s">
        <v>16</v>
      </c>
      <c r="B24" s="9" t="n">
        <f aca="false">SUMIF($B$5:$B$16,A24,$D$5:$D$16)</f>
        <v>12</v>
      </c>
      <c r="C24" s="10" t="n">
        <f aca="false">IF($B$25=0,0,B24/$B$25)</f>
        <v>0.0827586206896552</v>
      </c>
    </row>
    <row r="25" customFormat="false" ht="15" hidden="false" customHeight="false" outlineLevel="0" collapsed="false">
      <c r="A25" s="8" t="s">
        <v>20</v>
      </c>
      <c r="B25" s="11" t="n">
        <f aca="false">SUM(D5:D16)</f>
        <v>145</v>
      </c>
    </row>
  </sheetData>
  <dataValidations count="1">
    <dataValidation allowBlank="true" errorStyle="stop" operator="between" showDropDown="false" showErrorMessage="false" showInputMessage="false" sqref="B5:B16" type="list">
      <formula1>"Comida,Transporte,Servicios,Ocio,Otros"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2026-10-15T05:40:56Z</dcterms:created>
  <dc:creator>openpyxl</dc:creator>
  <dc:description/>
  <dc:language>en-US</dc:language>
  <cp:lastModifiedBy/>
  <dcterms:modified xsi:type="dcterms:W3CDTF">2026-10-15T05:40:56Z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