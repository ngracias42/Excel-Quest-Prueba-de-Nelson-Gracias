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Diferencia = Presupuestado - Real. En gastos, positivo significa que gastaste menos de lo planeado.</t>
        </r>
      </text>
    </comment>
  </commentList>
</comments>
</file>

<file path=xl/sharedStrings.xml><?xml version="1.0" encoding="utf-8"?>
<sst xmlns="http://schemas.openxmlformats.org/spreadsheetml/2006/main" count="28" uniqueCount="22">
  <si>
    <t xml:space="preserve">Presupuesto mensual</t>
  </si>
  <si>
    <t xml:space="preserve">Celdas amarillas: las llenas tú. Tipo debe ser Ingreso o Gasto. Las filas de ejemplo se pueden borrar.</t>
  </si>
  <si>
    <t xml:space="preserve">Categoría</t>
  </si>
  <si>
    <t xml:space="preserve">Tipo</t>
  </si>
  <si>
    <t xml:space="preserve">Presupuestado</t>
  </si>
  <si>
    <t xml:space="preserve">Real</t>
  </si>
  <si>
    <t xml:space="preserve">Diferencia</t>
  </si>
  <si>
    <t xml:space="preserve">Salario</t>
  </si>
  <si>
    <t xml:space="preserve">Ingreso</t>
  </si>
  <si>
    <t xml:space="preserve">Extra</t>
  </si>
  <si>
    <t xml:space="preserve">Alquiler</t>
  </si>
  <si>
    <t xml:space="preserve">Gasto</t>
  </si>
  <si>
    <t xml:space="preserve">Luz</t>
  </si>
  <si>
    <t xml:space="preserve">Agua</t>
  </si>
  <si>
    <t xml:space="preserve">Internet</t>
  </si>
  <si>
    <t xml:space="preserve">Comida</t>
  </si>
  <si>
    <t xml:space="preserve">Transporte</t>
  </si>
  <si>
    <t xml:space="preserve">Resumen</t>
  </si>
  <si>
    <t xml:space="preserve">Total ingresos</t>
  </si>
  <si>
    <t xml:space="preserve">Total gastos</t>
  </si>
  <si>
    <t xml:space="preserve">Saldo del mes</t>
  </si>
  <si>
    <t xml:space="preserve">% de ingresos gastado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</si>
</sst>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FF3B8"/>
        <bgColor rgb="FFFFFF99"/>
      </patternFill>
    </fill>
    <fill>
      <patternFill patternType="solid">
        <fgColor rgb="FFE3F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E3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600</v>
      </c>
      <c r="D5" s="5" t="n">
        <v>600</v>
      </c>
      <c r="E5" s="6" t="n">
        <f aca="false">IF(A5="","",C5-D5)</f>
        <v>0</v>
      </c>
    </row>
    <row r="6" customFormat="false" ht="15" hidden="false" customHeight="false" outlineLevel="0" collapsed="false">
      <c r="A6" s="4" t="s">
        <v>9</v>
      </c>
      <c r="B6" s="4" t="s">
        <v>8</v>
      </c>
      <c r="C6" s="5" t="n">
        <v>150</v>
      </c>
      <c r="D6" s="5" t="n">
        <v>100</v>
      </c>
      <c r="E6" s="6" t="n">
        <f aca="false">IF(A6="","",C6-D6)</f>
        <v>50</v>
      </c>
    </row>
    <row r="7" customFormat="false" ht="15" hidden="false" customHeight="false" outlineLevel="0" collapsed="false">
      <c r="A7" s="4" t="s">
        <v>10</v>
      </c>
      <c r="B7" s="4" t="s">
        <v>11</v>
      </c>
      <c r="C7" s="5" t="n">
        <v>250</v>
      </c>
      <c r="D7" s="5" t="n">
        <v>250</v>
      </c>
      <c r="E7" s="6" t="n">
        <f aca="false">IF(A7="","",C7-D7)</f>
        <v>0</v>
      </c>
    </row>
    <row r="8" customFormat="false" ht="15" hidden="false" customHeight="false" outlineLevel="0" collapsed="false">
      <c r="A8" s="4" t="s">
        <v>12</v>
      </c>
      <c r="B8" s="4" t="s">
        <v>11</v>
      </c>
      <c r="C8" s="5" t="n">
        <v>30</v>
      </c>
      <c r="D8" s="5" t="n">
        <v>28</v>
      </c>
      <c r="E8" s="6" t="n">
        <f aca="false">IF(A8="","",C8-D8)</f>
        <v>2</v>
      </c>
    </row>
    <row r="9" customFormat="false" ht="15" hidden="false" customHeight="false" outlineLevel="0" collapsed="false">
      <c r="A9" s="4" t="s">
        <v>13</v>
      </c>
      <c r="B9" s="4" t="s">
        <v>11</v>
      </c>
      <c r="C9" s="5" t="n">
        <v>15</v>
      </c>
      <c r="D9" s="5" t="n">
        <v>15</v>
      </c>
      <c r="E9" s="6" t="n">
        <f aca="false">IF(A9="","",C9-D9)</f>
        <v>0</v>
      </c>
    </row>
    <row r="10" customFormat="false" ht="15" hidden="false" customHeight="false" outlineLevel="0" collapsed="false">
      <c r="A10" s="4" t="s">
        <v>14</v>
      </c>
      <c r="B10" s="4" t="s">
        <v>11</v>
      </c>
      <c r="C10" s="5" t="n">
        <v>25</v>
      </c>
      <c r="D10" s="5" t="n">
        <v>25</v>
      </c>
      <c r="E10" s="6" t="n">
        <f aca="false">IF(A10="","",C10-D10)</f>
        <v>0</v>
      </c>
    </row>
    <row r="11" customFormat="false" ht="15" hidden="false" customHeight="false" outlineLevel="0" collapsed="false">
      <c r="A11" s="4" t="s">
        <v>15</v>
      </c>
      <c r="B11" s="4" t="s">
        <v>11</v>
      </c>
      <c r="C11" s="5" t="n">
        <v>120</v>
      </c>
      <c r="D11" s="5" t="n">
        <v>135</v>
      </c>
      <c r="E11" s="6" t="n">
        <f aca="false">IF(A11="","",C11-D11)</f>
        <v>-15</v>
      </c>
    </row>
    <row r="12" customFormat="false" ht="15" hidden="false" customHeight="false" outlineLevel="0" collapsed="false">
      <c r="A12" s="4" t="s">
        <v>16</v>
      </c>
      <c r="B12" s="4" t="s">
        <v>11</v>
      </c>
      <c r="C12" s="5" t="n">
        <v>40</v>
      </c>
      <c r="D12" s="5" t="n">
        <v>38</v>
      </c>
      <c r="E12" s="6" t="n">
        <f aca="false">IF(A12="","",C12-D12)</f>
        <v>2</v>
      </c>
    </row>
    <row r="13" customFormat="false" ht="15" hidden="false" customHeight="false" outlineLevel="0" collapsed="false">
      <c r="A13" s="4"/>
      <c r="B13" s="4"/>
      <c r="C13" s="5"/>
      <c r="D13" s="5"/>
      <c r="E13" s="6" t="str">
        <f aca="false">IF(A13="","",C13-D13)</f>
        <v/>
      </c>
    </row>
    <row r="14" customFormat="false" ht="15" hidden="false" customHeight="false" outlineLevel="0" collapsed="false">
      <c r="A14" s="4"/>
      <c r="B14" s="4"/>
      <c r="C14" s="5"/>
      <c r="D14" s="5"/>
      <c r="E14" s="6" t="str">
        <f aca="false">IF(A14="","",C14-D14)</f>
        <v/>
      </c>
    </row>
    <row r="15" customFormat="false" ht="15" hidden="false" customHeight="false" outlineLevel="0" collapsed="false">
      <c r="A15" s="4"/>
      <c r="B15" s="4"/>
      <c r="C15" s="5"/>
      <c r="D15" s="5"/>
      <c r="E15" s="6" t="str">
        <f aca="false">IF(A15="","",C15-D15)</f>
        <v/>
      </c>
    </row>
    <row r="16" customFormat="false" ht="15" hidden="false" customHeight="false" outlineLevel="0" collapsed="false">
      <c r="A16" s="4"/>
      <c r="B16" s="4"/>
      <c r="C16" s="5"/>
      <c r="D16" s="5"/>
      <c r="E16" s="6" t="str">
        <f aca="false">IF(A16="","",C16-D16)</f>
        <v/>
      </c>
    </row>
    <row r="18" customFormat="false" ht="16.15" hidden="false" customHeight="false" outlineLevel="0" collapsed="false">
      <c r="A18" s="7" t="s">
        <v>17</v>
      </c>
    </row>
    <row r="19" customFormat="false" ht="15" hidden="false" customHeight="false" outlineLevel="0" collapsed="false">
      <c r="A19" s="8" t="s">
        <v>18</v>
      </c>
      <c r="B19" s="6" t="n">
        <f aca="false">SUMIF(B5:B16,"Ingreso",D5:D16)</f>
        <v>700</v>
      </c>
    </row>
    <row r="20" customFormat="false" ht="15" hidden="false" customHeight="false" outlineLevel="0" collapsed="false">
      <c r="A20" s="8" t="s">
        <v>19</v>
      </c>
      <c r="B20" s="6" t="n">
        <f aca="false">SUMIF(B5:B16,"Gasto",D5:D16)</f>
        <v>491</v>
      </c>
    </row>
    <row r="21" customFormat="false" ht="15" hidden="false" customHeight="false" outlineLevel="0" collapsed="false">
      <c r="A21" s="8" t="s">
        <v>20</v>
      </c>
      <c r="B21" s="6" t="n">
        <f aca="false">B19-B20</f>
        <v>209</v>
      </c>
    </row>
    <row r="22" customFormat="false" ht="15" hidden="false" customHeight="false" outlineLevel="0" collapsed="false">
      <c r="A22" s="8" t="s">
        <v>21</v>
      </c>
      <c r="B22" s="9" t="n">
        <f aca="false">IF(B19=0,0,B20/B19)</f>
        <v>0.701428571428571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2026-10-08T15:33:41Z</dcterms:created>
  <dc:creator>openpyxl</dc:creator>
  <dc:description/>
  <dc:language>en-US</dc:language>
  <cp:lastModifiedBy/>
  <dcterms:modified xsi:type="dcterms:W3CDTF">2026-10-08T15:33:41Z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