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<sst xmlns="http://schemas.openxmlformats.org/spreadsheetml/2006/main" count="19" uniqueCount="19">
  <si>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Control de inventario</t>
  </si>
  <si>
    <t xml:space="preserve">Celdas amarillas: las llenas tú. Cambia el stock mínimo en B3.</t>
  </si>
  <si>
    <t xml:space="preserve">Stock mínimo</t>
  </si>
  <si>
    <t xml:space="preserve">Código</t>
  </si>
  <si>
    <t xml:space="preserve">Producto</t>
  </si>
  <si>
    <t xml:space="preserve">Cantidad</t>
  </si>
  <si>
    <t xml:space="preserve">Precio</t>
  </si>
  <si>
    <t xml:space="preserve">Valor total</t>
  </si>
  <si>
    <t xml:space="preserve">Estado</t>
  </si>
  <si>
    <t xml:space="preserve">Arroz</t>
  </si>
  <si>
    <t xml:space="preserve">Frijol</t>
  </si>
  <si>
    <t xml:space="preserve">Aceite</t>
  </si>
  <si>
    <t xml:space="preserve">Azúcar</t>
  </si>
  <si>
    <t xml:space="preserve">Sal</t>
  </si>
  <si>
    <t xml:space="preserve">Café</t>
  </si>
  <si>
    <t xml:space="preserve">Resumen</t>
  </si>
  <si>
    <t xml:space="preserve">Total de productos</t>
  </si>
  <si>
    <t xml:space="preserve">Valor del inventario</t>
  </si>
  <si>
    <t xml:space="preserve">Productos por reponer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</si>
</sst>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B8"/>
        <bgColor rgb="FFFFFF99"/>
      </patternFill>
    </fill>
    <fill>
      <patternFill patternType="solid">
        <fgColor rgb="FF1D6F42"/>
        <bgColor rgb="FF008080"/>
      </patternFill>
    </fill>
    <fill>
      <patternFill patternType="solid">
        <fgColor rgb="FFE3F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E3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5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4" t="n">
        <v>101</v>
      </c>
      <c r="B5" s="4" t="s">
        <v>9</v>
      </c>
      <c r="C5" s="4" t="n">
        <v>40</v>
      </c>
      <c r="D5" s="6" t="n">
        <v>1.5</v>
      </c>
      <c r="E5" s="7" t="n">
        <f aca="false">IF(B5="","",C5*D5)</f>
        <v>60</v>
      </c>
      <c r="F5" s="8" t="str">
        <f aca="false">IF(B5="","",IF(C5&lt;=$B$3,"Reponer","OK"))</f>
        <v>OK</v>
      </c>
    </row>
    <row r="6" customFormat="false" ht="15" hidden="false" customHeight="false" outlineLevel="0" collapsed="false">
      <c r="A6" s="4" t="n">
        <v>102</v>
      </c>
      <c r="B6" s="4" t="s">
        <v>10</v>
      </c>
      <c r="C6" s="4" t="n">
        <v>3</v>
      </c>
      <c r="D6" s="6" t="n">
        <v>2</v>
      </c>
      <c r="E6" s="7" t="n">
        <f aca="false">IF(B6="","",C6*D6)</f>
        <v>6</v>
      </c>
      <c r="F6" s="8" t="str">
        <f aca="false">IF(B6="","",IF(C6&lt;=$B$3,"Reponer","OK"))</f>
        <v>Reponer</v>
      </c>
    </row>
    <row r="7" customFormat="false" ht="15" hidden="false" customHeight="false" outlineLevel="0" collapsed="false">
      <c r="A7" s="4" t="n">
        <v>103</v>
      </c>
      <c r="B7" s="4" t="s">
        <v>11</v>
      </c>
      <c r="C7" s="4" t="n">
        <v>12</v>
      </c>
      <c r="D7" s="6" t="n">
        <v>3.5</v>
      </c>
      <c r="E7" s="7" t="n">
        <f aca="false">IF(B7="","",C7*D7)</f>
        <v>42</v>
      </c>
      <c r="F7" s="8" t="str">
        <f aca="false">IF(B7="","",IF(C7&lt;=$B$3,"Reponer","OK"))</f>
        <v>OK</v>
      </c>
    </row>
    <row r="8" customFormat="false" ht="15" hidden="false" customHeight="false" outlineLevel="0" collapsed="false">
      <c r="A8" s="4" t="n">
        <v>104</v>
      </c>
      <c r="B8" s="4" t="s">
        <v>12</v>
      </c>
      <c r="C8" s="4" t="n">
        <v>25</v>
      </c>
      <c r="D8" s="6" t="n">
        <v>1.2</v>
      </c>
      <c r="E8" s="7" t="n">
        <f aca="false">IF(B8="","",C8*D8)</f>
        <v>30</v>
      </c>
      <c r="F8" s="8" t="str">
        <f aca="false">IF(B8="","",IF(C8&lt;=$B$3,"Reponer","OK"))</f>
        <v>OK</v>
      </c>
    </row>
    <row r="9" customFormat="false" ht="15" hidden="false" customHeight="false" outlineLevel="0" collapsed="false">
      <c r="A9" s="4" t="n">
        <v>105</v>
      </c>
      <c r="B9" s="4" t="s">
        <v>13</v>
      </c>
      <c r="C9" s="4" t="n">
        <v>4</v>
      </c>
      <c r="D9" s="6" t="n">
        <v>0.6</v>
      </c>
      <c r="E9" s="7" t="n">
        <f aca="false">IF(B9="","",C9*D9)</f>
        <v>2.4</v>
      </c>
      <c r="F9" s="8" t="str">
        <f aca="false">IF(B9="","",IF(C9&lt;=$B$3,"Reponer","OK"))</f>
        <v>Reponer</v>
      </c>
    </row>
    <row r="10" customFormat="false" ht="15" hidden="false" customHeight="false" outlineLevel="0" collapsed="false">
      <c r="A10" s="4" t="n">
        <v>106</v>
      </c>
      <c r="B10" s="4" t="s">
        <v>14</v>
      </c>
      <c r="C10" s="4" t="n">
        <v>8</v>
      </c>
      <c r="D10" s="6" t="n">
        <v>4.5</v>
      </c>
      <c r="E10" s="7" t="n">
        <f aca="false">IF(B10="","",C10*D10)</f>
        <v>36</v>
      </c>
      <c r="F10" s="8" t="str">
        <f aca="false">IF(B10="","",IF(C10&lt;=$B$3,"Reponer","OK"))</f>
        <v>OK</v>
      </c>
    </row>
    <row r="11" customFormat="false" ht="15" hidden="false" customHeight="false" outlineLevel="0" collapsed="false">
      <c r="A11" s="4"/>
      <c r="B11" s="4"/>
      <c r="C11" s="4"/>
      <c r="D11" s="6"/>
      <c r="E11" s="7" t="str">
        <f aca="false">IF(B11="","",C11*D11)</f>
        <v/>
      </c>
      <c r="F11" s="8" t="str">
        <f aca="false">IF(B11="","",IF(C11&lt;=$B$3,"Reponer","OK"))</f>
        <v/>
      </c>
    </row>
    <row r="12" customFormat="false" ht="15" hidden="false" customHeight="false" outlineLevel="0" collapsed="false">
      <c r="A12" s="4"/>
      <c r="B12" s="4"/>
      <c r="C12" s="4"/>
      <c r="D12" s="6"/>
      <c r="E12" s="7" t="str">
        <f aca="false">IF(B12="","",C12*D12)</f>
        <v/>
      </c>
      <c r="F12" s="8" t="str">
        <f aca="false">IF(B12="","",IF(C12&lt;=$B$3,"Reponer","OK"))</f>
        <v/>
      </c>
    </row>
    <row r="13" customFormat="false" ht="15" hidden="false" customHeight="false" outlineLevel="0" collapsed="false">
      <c r="A13" s="4"/>
      <c r="B13" s="4"/>
      <c r="C13" s="4"/>
      <c r="D13" s="6"/>
      <c r="E13" s="7" t="str">
        <f aca="false">IF(B13="","",C13*D13)</f>
        <v/>
      </c>
      <c r="F13" s="8" t="str">
        <f aca="false">IF(B13="","",IF(C13&lt;=$B$3,"Reponer","OK"))</f>
        <v/>
      </c>
    </row>
    <row r="14" customFormat="false" ht="15" hidden="false" customHeight="false" outlineLevel="0" collapsed="false">
      <c r="A14" s="4"/>
      <c r="B14" s="4"/>
      <c r="C14" s="4"/>
      <c r="D14" s="6"/>
      <c r="E14" s="7" t="str">
        <f aca="false">IF(B14="","",C14*D14)</f>
        <v/>
      </c>
      <c r="F14" s="8" t="str">
        <f aca="false">IF(B14="","",IF(C14&lt;=$B$3,"Reponer","OK"))</f>
        <v/>
      </c>
    </row>
    <row r="16" customFormat="false" ht="16.15" hidden="false" customHeight="false" outlineLevel="0" collapsed="false">
      <c r="A16" s="9" t="s">
        <v>15</v>
      </c>
    </row>
    <row r="17" customFormat="false" ht="15" hidden="false" customHeight="false" outlineLevel="0" collapsed="false">
      <c r="A17" s="10" t="s">
        <v>16</v>
      </c>
      <c r="B17" s="11" t="n">
        <f aca="false">COUNTA(B5:B14)</f>
        <v>6</v>
      </c>
    </row>
    <row r="18" customFormat="false" ht="15" hidden="false" customHeight="false" outlineLevel="0" collapsed="false">
      <c r="A18" s="10" t="s">
        <v>17</v>
      </c>
      <c r="B18" s="7" t="n">
        <f aca="false">SUM(E5:E14)</f>
        <v>176.4</v>
      </c>
    </row>
    <row r="19" customFormat="false" ht="15" hidden="false" customHeight="false" outlineLevel="0" collapsed="false">
      <c r="A19" s="10" t="s">
        <v>18</v>
      </c>
      <c r="B19" s="11" t="n">
        <f aca="false">COUNTIF(F5:F14,"Reponer")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2026-10-08T15:33:41Z</dcterms:created>
  <dc:creator>openpyxl</dc:creator>
  <dc:description/>
  <dc:language>en-US</dc:language>
  <cp:lastModifiedBy/>
  <dcterms:modified xsi:type="dcterms:W3CDTF">2026-10-08T15:33:41Z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